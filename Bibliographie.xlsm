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06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berton\Documents\Bibliographie\"/>
    </mc:Choice>
  </mc:AlternateContent>
  <xr:revisionPtr revIDLastSave="0" documentId="13_ncr:1_{C2CD299A-9C00-47CE-99BC-8247E42EB8D2}" xr6:coauthVersionLast="36" xr6:coauthVersionMax="36" xr10:uidLastSave="{00000000-0000-0000-0000-000000000000}"/>
  <bookViews>
    <workbookView xWindow="0" yWindow="0" windowWidth="12795" windowHeight="7980" xr2:uid="{00000000-000D-0000-FFFF-FFFF00000000}"/>
  </bookViews>
  <sheets>
    <sheet name="Feuil1" sheetId="1" r:id="rId1"/>
  </sheets>
  <functionGroups builtInGroupCount="19"/>
  <calcPr calcId="191029"/>
</workbook>
</file>

<file path=xl/calcChain.xml><?xml version="1.0" encoding="utf-8"?>
<calcChain xmlns="http://schemas.openxmlformats.org/spreadsheetml/2006/main">
  <c r="F9" i="1" l="1"/>
  <c r="G10" i="1"/>
  <c r="G11" i="1"/>
  <c r="G7" i="1"/>
  <c r="G14" i="1"/>
  <c r="G12" i="1"/>
  <c r="G15" i="1"/>
  <c r="G9" i="1"/>
</calcChain>
</file>

<file path=xl/sharedStrings.xml><?xml version="1.0" encoding="utf-8"?>
<sst xmlns="http://schemas.openxmlformats.org/spreadsheetml/2006/main" count="195" uniqueCount="125">
  <si>
    <t>Ref</t>
  </si>
  <si>
    <t>Name</t>
  </si>
  <si>
    <t>Authors</t>
  </si>
  <si>
    <t>Date</t>
  </si>
  <si>
    <t>Fluids</t>
  </si>
  <si>
    <t>Reduced pressure
 [bars]</t>
  </si>
  <si>
    <t>Tsat [°C]</t>
  </si>
  <si>
    <t>Flow patterns</t>
  </si>
  <si>
    <t>G
[kg/m²/s]</t>
  </si>
  <si>
    <t>Vapor
quality
[-]</t>
  </si>
  <si>
    <t>Shape</t>
  </si>
  <si>
    <t>Material</t>
  </si>
  <si>
    <t>Dh/L Canal
[mm]</t>
  </si>
  <si>
    <t>Inclinaison
[°]</t>
  </si>
  <si>
    <t>ONB</t>
  </si>
  <si>
    <t>OSV</t>
  </si>
  <si>
    <t>q"
[kW/m²]</t>
  </si>
  <si>
    <t>dP/dz</t>
  </si>
  <si>
    <t>HTC</t>
  </si>
  <si>
    <t>CHF</t>
  </si>
  <si>
    <t>Fluid thickness</t>
  </si>
  <si>
    <t>Void fraction</t>
  </si>
  <si>
    <t>Symmetry</t>
  </si>
  <si>
    <t>Nucleation
 sites 
density</t>
  </si>
  <si>
    <t>f bulles</t>
  </si>
  <si>
    <t>D bubbles 
detachment</t>
  </si>
  <si>
    <t>Results</t>
  </si>
  <si>
    <t>https://www.sciencedirect.com/science/article/pii/S0017931018336202</t>
  </si>
  <si>
    <t>Effect of inclination on heat transfer coefficient during flow boiling in a mini-channel</t>
  </si>
  <si>
    <t>[Layssac, Lips, Revellin]</t>
  </si>
  <si>
    <t>2019</t>
  </si>
  <si>
    <t>R245fa</t>
  </si>
  <si>
    <t>V</t>
  </si>
  <si>
    <t>[150 ; 200]</t>
  </si>
  <si>
    <t>[0,03 ; 0,85]</t>
  </si>
  <si>
    <t>C</t>
  </si>
  <si>
    <t>Saphyr</t>
  </si>
  <si>
    <t>[1,6 , 200]</t>
  </si>
  <si>
    <t>[-90 ; 90]</t>
  </si>
  <si>
    <t>X</t>
  </si>
  <si>
    <t>https://www.sciencedirect.com/science/article/pii/S089417771500182X</t>
  </si>
  <si>
    <t>Film thickness measurements for annular flow in minichannels: Description of the optical technique and experimental results</t>
  </si>
  <si>
    <t>[Donniacuo, Charnay, Mastrullo, Mauro, Revellin]</t>
  </si>
  <si>
    <t>2015</t>
  </si>
  <si>
    <t>[0,07 ; 0,35]</t>
  </si>
  <si>
    <t>annular</t>
  </si>
  <si>
    <t>[0,1 ; 0,8]</t>
  </si>
  <si>
    <t>SS</t>
  </si>
  <si>
    <t>[2,95 , 185]</t>
  </si>
  <si>
    <t>https://www.sciencedirect.com/science/article/pii/S0894177718305843</t>
  </si>
  <si>
    <t>Experimental study of flow boiling in an inclined mini-channel: Effect of inclination on flow pattern transitions and pressure drops</t>
  </si>
  <si>
    <t>2018</t>
  </si>
  <si>
    <t>https://www.sciencedirect.com/science/article/pii/S0301932216306942</t>
  </si>
  <si>
    <t>Prediction of symmetry during intermittent and annular horizontal two-phase flows</t>
  </si>
  <si>
    <t>[Layssac, Capo, Lips, Mauro, Revellin]</t>
  </si>
  <si>
    <t>2017</t>
  </si>
  <si>
    <t>[0,03 ; 0,35]</t>
  </si>
  <si>
    <t>[0,1 ; 1]</t>
  </si>
  <si>
    <t>https://www.sciencedirect.com/science/article/pii/S0140700715000468</t>
  </si>
  <si>
    <t>Discussion on the validity of prediction tools for two-phase flow pressure drops from experimental data obtained at high saturation temperatures</t>
  </si>
  <si>
    <t>[Charnay, Revellin, Bonjour]</t>
  </si>
  <si>
    <t>[0 ; 1]</t>
  </si>
  <si>
    <t>[3 , 350]</t>
  </si>
  <si>
    <t>https://www.sciencedirect.com/science/article/pii/S0140700710000757</t>
  </si>
  <si>
    <t>Carbon dioxide heat transfer coefficients and pressure drops during flow boiling: Assessment of predictive methods</t>
  </si>
  <si>
    <t>[Mastrullo, Mauro, Rosato, Vanoli]</t>
  </si>
  <si>
    <t>2010</t>
  </si>
  <si>
    <t>R744</t>
  </si>
  <si>
    <t>https://www.sciencedirect.com/science/article/pii/S0894177714000557</t>
  </si>
  <si>
    <t>Flow boiling of R245fa in 1.1mm diameter stainless steel, brass and copper tubes</t>
  </si>
  <si>
    <t>[Pike-Wilson, Karayiannis]</t>
  </si>
  <si>
    <t>2014</t>
  </si>
  <si>
    <t>[10 ; 60]</t>
  </si>
  <si>
    <t>https://www.sciencedirect.com/science/article/pii/S1359431116314090</t>
  </si>
  <si>
    <t>Flow boiling in microchannels: Fundamentals and applications</t>
  </si>
  <si>
    <t>[Karayiannis, Mahmoud]</t>
  </si>
  <si>
    <t>https://www.sciencedirect.com/science/article/pii/S0017931019316151</t>
  </si>
  <si>
    <t>Surface roughness variation effects on copper tubes in pool boiling of water</t>
  </si>
  <si>
    <t>[Mata Arenales, C.s., Kuo, Chen]</t>
  </si>
  <si>
    <t>2020</t>
  </si>
  <si>
    <t>https://www.sciencedirect.com/science/article/pii/0301932277900325</t>
  </si>
  <si>
    <t>Flow pattern transition in rough pipes</t>
  </si>
  <si>
    <t>[Taitel]</t>
  </si>
  <si>
    <t>https://www.sciencedirect.com/science/article/pii/0149197083900124</t>
  </si>
  <si>
    <t>Two-phase flow patterns: A review of research results</t>
  </si>
  <si>
    <t>[Rouhani, Sohal]</t>
  </si>
  <si>
    <t>1983</t>
  </si>
  <si>
    <t>https://www.sciencedirect.com/science/article/pii/S0017931022004240</t>
  </si>
  <si>
    <t>A state-of-the-art review on flow boiling at high reduced pressures</t>
  </si>
  <si>
    <t>[Marchetto, Moreira, Revellin, Ribatski]</t>
  </si>
  <si>
    <t>2022</t>
  </si>
  <si>
    <t>https://www.sciencedirect.com/science/article/pii/S0894177711001877</t>
  </si>
  <si>
    <t>A study of discrepancies in flow boiling results in small to microdiameter metallic tubes</t>
  </si>
  <si>
    <t>[Karayiannis, Mahmoud, Kenning]</t>
  </si>
  <si>
    <t>2012</t>
  </si>
  <si>
    <t>http://bura.brunel.ac.uk/handle/2438/3283</t>
  </si>
  <si>
    <t>Saturated flow boiling in small- to micro- diameter metallic tubes: Experimental results and modeling</t>
  </si>
  <si>
    <t>[Karayiannis, Shiferaw, Kenning]</t>
  </si>
  <si>
    <t>2008</t>
  </si>
  <si>
    <t>https://dx.doi.org/10.1115/IMECE1998-0592</t>
  </si>
  <si>
    <t>Effect of Surface Finish on Flow Boiling Heat Transfer</t>
  </si>
  <si>
    <t>[Kandlikar, Spiesman]</t>
  </si>
  <si>
    <t>https://doi.org/10.1063/1.1896985</t>
  </si>
  <si>
    <t>Characterization of surface roughness effects on pressure drop in single-phase flow in minichannels</t>
  </si>
  <si>
    <t>[Kandlikar, Schmitt, Carrano, Taylor]</t>
  </si>
  <si>
    <t>2005</t>
  </si>
  <si>
    <t>[0,13 _ 0,53]</t>
  </si>
  <si>
    <t>[0,3873 _ 0,5563]</t>
  </si>
  <si>
    <t>[0,02 _ 0,41]</t>
  </si>
  <si>
    <t>[6 , ?]</t>
  </si>
  <si>
    <t>[300 _ 400]</t>
  </si>
  <si>
    <t>[200 _ 300]</t>
  </si>
  <si>
    <t>[50 _ 400]</t>
  </si>
  <si>
    <t>[100 _ 1000]</t>
  </si>
  <si>
    <t>[200 _ 349]</t>
  </si>
  <si>
    <t>[annular , intermittent]</t>
  </si>
  <si>
    <t>[annular , dryout , intermittent , mist]</t>
  </si>
  <si>
    <t>[10,1  , 20,6]</t>
  </si>
  <si>
    <t>Macro channels study
Littérature survey --&gt; Lack of data :
Delta P for high x &amp; high G
Data for dyout &amp; mist flow</t>
  </si>
  <si>
    <t>[annular , bubbly , churn , slug]</t>
  </si>
  <si>
    <t>[100 _ 400]</t>
  </si>
  <si>
    <t>[0 _ 0,95]</t>
  </si>
  <si>
    <t>[brass ,  copper , SS]</t>
  </si>
  <si>
    <t>[1,1 , ?]</t>
  </si>
  <si>
    <t>Micro channel study at low Pr
Structure surface --&gt; size, nb nucleation sites
--&gt; affect flow patterns, dP, HT
Real struture diff if diff manufacturing
Material nature has low impact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</si>
</sst>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15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3" borderId="1" xfId="0" applyNumberFormat="1" applyFont="1" applyFill="1" applyBorder="1" applyAlignment="1">
      <alignment horizontal="center" vertical="center"/>
    </xf>
    <xf numFmtId="0" fontId="1" fillId="3" borderId="1" xfId="0" applyNumberFormat="1" applyFont="1" applyFill="1" applyBorder="1" applyAlignment="1">
      <alignment horizontal="center" vertical="center" wrapText="1"/>
    </xf>
    <xf numFmtId="0" fontId="0" fillId="0" borderId="0" xfId="0" applyNumberFormat="1" applyAlignment="1">
      <alignment horizontal="center" vertical="center"/>
    </xf>
    <xf numFmtId="0" fontId="2" fillId="0" borderId="1" xfId="1" applyNumberFormat="1" applyBorder="1"/>
    <xf numFmtId="0" fontId="0" fillId="0" borderId="1" xfId="0" applyNumberFormat="1" applyBorder="1" applyAlignment="1">
      <alignment horizontal="center" vertical="center"/>
    </xf>
    <xf numFmtId="0" fontId="0" fillId="2" borderId="1" xfId="0" applyNumberFormat="1" applyFill="1" applyBorder="1" applyAlignment="1">
      <alignment horizontal="center" vertical="center"/>
    </xf>
    <xf numFmtId="0" fontId="2" fillId="0" borderId="0" xfId="1" applyNumberFormat="1"/>
    <xf numFmtId="0" fontId="0" fillId="0" borderId="0" xfId="0" applyNumberFormat="1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1" fontId="1" fillId="3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</cellXfs>
  <cellStyles count="2">
    <cellStyle name="Lien hypertexte" xfId="1" builtinId="8"/>
    <cellStyle name="Normal" xfId="0" builtinId="0"/>
  </cellStyles>
  <dxfs count="9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sciencedirect.com/science/article/pii/S1359431116314090" TargetMode="External"/><Relationship Id="rId13" Type="http://schemas.openxmlformats.org/officeDocument/2006/relationships/hyperlink" Target="https://dx.doi.org/10.1115/IMECE1998-0592" TargetMode="External"/><Relationship Id="rId3" Type="http://schemas.openxmlformats.org/officeDocument/2006/relationships/hyperlink" Target="https://www.sciencedirect.com/science/article/pii/S0894177718305843" TargetMode="External"/><Relationship Id="rId7" Type="http://schemas.openxmlformats.org/officeDocument/2006/relationships/hyperlink" Target="https://www.sciencedirect.com/science/article/pii/S0894177714000557" TargetMode="External"/><Relationship Id="rId12" Type="http://schemas.openxmlformats.org/officeDocument/2006/relationships/hyperlink" Target="https://www.sciencedirect.com/science/article/pii/S0017931022004240" TargetMode="External"/><Relationship Id="rId2" Type="http://schemas.openxmlformats.org/officeDocument/2006/relationships/hyperlink" Target="https://www.sciencedirect.com/science/article/pii/S089417771500182X" TargetMode="External"/><Relationship Id="rId1" Type="http://schemas.openxmlformats.org/officeDocument/2006/relationships/hyperlink" Target="https://www.sciencedirect.com/science/article/pii/S0017931018336202" TargetMode="External"/><Relationship Id="rId6" Type="http://schemas.openxmlformats.org/officeDocument/2006/relationships/hyperlink" Target="https://www.sciencedirect.com/science/article/pii/S0140700710000757" TargetMode="External"/><Relationship Id="rId11" Type="http://schemas.openxmlformats.org/officeDocument/2006/relationships/hyperlink" Target="https://www.sciencedirect.com/science/article/pii/0149197083900124" TargetMode="External"/><Relationship Id="rId5" Type="http://schemas.openxmlformats.org/officeDocument/2006/relationships/hyperlink" Target="https://www.sciencedirect.com/science/article/pii/S0140700715000468" TargetMode="External"/><Relationship Id="rId10" Type="http://schemas.openxmlformats.org/officeDocument/2006/relationships/hyperlink" Target="https://www.sciencedirect.com/science/article/pii/0301932277900325" TargetMode="External"/><Relationship Id="rId4" Type="http://schemas.openxmlformats.org/officeDocument/2006/relationships/hyperlink" Target="https://www.sciencedirect.com/science/article/pii/S0301932216306942" TargetMode="External"/><Relationship Id="rId9" Type="http://schemas.openxmlformats.org/officeDocument/2006/relationships/hyperlink" Target="https://www.sciencedirect.com/science/article/pii/S0017931019316151" TargetMode="External"/><Relationship Id="rId14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AB24"/>
  <sheetViews>
    <sheetView tabSelected="1" zoomScale="70" zoomScaleNormal="70" workbookViewId="0">
      <selection activeCell="E25" sqref="E25"/>
    </sheetView>
  </sheetViews>
  <sheetFormatPr baseColWidth="10" defaultColWidth="11.42578125" defaultRowHeight="15" x14ac:dyDescent="0.25"/>
  <cols>
    <col min="1" max="1" width="19" style="2" customWidth="1"/>
    <col min="2" max="2" width="70.5703125" style="2" customWidth="1"/>
    <col min="3" max="3" width="47" style="2" bestFit="1" customWidth="1"/>
    <col min="4" max="4" width="14.28515625" style="2" customWidth="1"/>
    <col min="5" max="5" width="7.140625" style="2" bestFit="1" customWidth="1"/>
    <col min="6" max="6" width="17" style="2" bestFit="1" customWidth="1"/>
    <col min="7" max="7" width="14.5703125" style="2" bestFit="1" customWidth="1"/>
    <col min="8" max="8" width="35.7109375" style="2" bestFit="1" customWidth="1"/>
    <col min="9" max="10" width="11.5703125" style="2" bestFit="1" customWidth="1"/>
    <col min="11" max="11" width="6.42578125" style="2" bestFit="1" customWidth="1"/>
    <col min="12" max="12" width="19.42578125" style="2" bestFit="1" customWidth="1"/>
    <col min="13" max="14" width="10.5703125" style="2" bestFit="1" customWidth="1"/>
    <col min="15" max="15" width="5" style="2" bestFit="1" customWidth="1"/>
    <col min="16" max="16" width="4.7109375" style="2" bestFit="1" customWidth="1"/>
    <col min="17" max="17" width="11.5703125" style="2" bestFit="1" customWidth="1"/>
    <col min="18" max="18" width="6.140625" style="2" bestFit="1" customWidth="1"/>
    <col min="19" max="20" width="4.5703125" style="2" bestFit="1" customWidth="1"/>
    <col min="21" max="21" width="14.140625" style="2" bestFit="1" customWidth="1"/>
    <col min="22" max="22" width="12.42578125" style="2" bestFit="1" customWidth="1"/>
    <col min="23" max="24" width="10" style="2" bestFit="1" customWidth="1"/>
    <col min="25" max="25" width="7.5703125" style="2" bestFit="1" customWidth="1"/>
    <col min="26" max="26" width="11.7109375" style="2" bestFit="1" customWidth="1"/>
    <col min="27" max="27" width="43.85546875" style="2" customWidth="1"/>
    <col min="28" max="35" width="11.42578125" style="2" customWidth="1"/>
    <col min="36" max="16384" width="11.42578125" style="2"/>
  </cols>
  <sheetData>
    <row r="1" spans="1:28" ht="60" customHeight="1" x14ac:dyDescent="0.25">
      <c r="A1" s="3" t="s">
        <v>0</v>
      </c>
      <c r="B1" s="3" t="s">
        <v>1</v>
      </c>
      <c r="C1" s="3" t="s">
        <v>2</v>
      </c>
      <c r="D1" s="13" t="s">
        <v>3</v>
      </c>
      <c r="E1" s="3" t="s">
        <v>4</v>
      </c>
      <c r="F1" s="4" t="s">
        <v>5</v>
      </c>
      <c r="G1" s="4" t="s">
        <v>6</v>
      </c>
      <c r="H1" s="3" t="s">
        <v>7</v>
      </c>
      <c r="I1" s="4" t="s">
        <v>8</v>
      </c>
      <c r="J1" s="4" t="s">
        <v>9</v>
      </c>
      <c r="K1" s="4" t="s">
        <v>10</v>
      </c>
      <c r="L1" s="4" t="s">
        <v>11</v>
      </c>
      <c r="M1" s="4" t="s">
        <v>12</v>
      </c>
      <c r="N1" s="4" t="s">
        <v>13</v>
      </c>
      <c r="O1" s="4" t="s">
        <v>14</v>
      </c>
      <c r="P1" s="4" t="s">
        <v>15</v>
      </c>
      <c r="Q1" s="4" t="s">
        <v>16</v>
      </c>
      <c r="R1" s="3" t="s">
        <v>17</v>
      </c>
      <c r="S1" s="3" t="s">
        <v>18</v>
      </c>
      <c r="T1" s="3" t="s">
        <v>19</v>
      </c>
      <c r="U1" s="3" t="s">
        <v>20</v>
      </c>
      <c r="V1" s="3" t="s">
        <v>21</v>
      </c>
      <c r="W1" s="3" t="s">
        <v>22</v>
      </c>
      <c r="X1" s="4" t="s">
        <v>23</v>
      </c>
      <c r="Y1" s="3" t="s">
        <v>24</v>
      </c>
      <c r="Z1" s="4" t="s">
        <v>25</v>
      </c>
      <c r="AA1" s="3" t="s">
        <v>26</v>
      </c>
      <c r="AB1" s="5"/>
    </row>
    <row r="2" spans="1:28" ht="30" customHeight="1" x14ac:dyDescent="0.25">
      <c r="A2" s="6" t="s">
        <v>99</v>
      </c>
      <c r="B2" s="11" t="s">
        <v>100</v>
      </c>
      <c r="C2" s="7" t="s">
        <v>101</v>
      </c>
      <c r="D2" s="14">
        <v>2022</v>
      </c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10"/>
    </row>
    <row r="3" spans="1:28" ht="30" customHeight="1" x14ac:dyDescent="0.25">
      <c r="A3" s="6" t="s">
        <v>80</v>
      </c>
      <c r="B3" s="11" t="s">
        <v>81</v>
      </c>
      <c r="C3" s="7" t="s">
        <v>82</v>
      </c>
      <c r="D3" s="14">
        <v>1977</v>
      </c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10"/>
    </row>
    <row r="4" spans="1:28" ht="30" customHeight="1" x14ac:dyDescent="0.25">
      <c r="A4" s="6" t="s">
        <v>83</v>
      </c>
      <c r="B4" s="11" t="s">
        <v>84</v>
      </c>
      <c r="C4" s="7" t="s">
        <v>85</v>
      </c>
      <c r="D4" s="14" t="s">
        <v>86</v>
      </c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10"/>
    </row>
    <row r="5" spans="1:28" ht="30" customHeight="1" x14ac:dyDescent="0.25">
      <c r="A5" s="7" t="s">
        <v>102</v>
      </c>
      <c r="B5" s="11" t="s">
        <v>103</v>
      </c>
      <c r="C5" s="7" t="s">
        <v>104</v>
      </c>
      <c r="D5" s="14" t="s">
        <v>105</v>
      </c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10"/>
    </row>
    <row r="6" spans="1:28" ht="28.5" customHeight="1" x14ac:dyDescent="0.25">
      <c r="A6" s="7" t="s">
        <v>95</v>
      </c>
      <c r="B6" s="11" t="s">
        <v>96</v>
      </c>
      <c r="C6" s="7" t="s">
        <v>97</v>
      </c>
      <c r="D6" s="14" t="s">
        <v>98</v>
      </c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10"/>
    </row>
    <row r="7" spans="1:28" ht="60" x14ac:dyDescent="0.25">
      <c r="A7" s="9" t="s">
        <v>63</v>
      </c>
      <c r="B7" s="11" t="s">
        <v>64</v>
      </c>
      <c r="C7" s="7" t="s">
        <v>65</v>
      </c>
      <c r="D7" s="14" t="s">
        <v>66</v>
      </c>
      <c r="E7" s="7" t="s">
        <v>67</v>
      </c>
      <c r="F7" s="7" t="s">
        <v>107</v>
      </c>
      <c r="G7" s="7" t="str">
        <f>PrToTsat(F7)</f>
        <v>[-7,31 _ 6,31]</v>
      </c>
      <c r="H7" s="7" t="s">
        <v>32</v>
      </c>
      <c r="I7" s="7" t="s">
        <v>114</v>
      </c>
      <c r="J7" s="7" t="s">
        <v>108</v>
      </c>
      <c r="K7" s="7" t="s">
        <v>35</v>
      </c>
      <c r="L7" s="7" t="s">
        <v>47</v>
      </c>
      <c r="M7" s="7" t="s">
        <v>109</v>
      </c>
      <c r="N7" s="7">
        <v>0</v>
      </c>
      <c r="O7" s="7" t="s">
        <v>39</v>
      </c>
      <c r="P7" s="7" t="s">
        <v>39</v>
      </c>
      <c r="Q7" s="7" t="s">
        <v>117</v>
      </c>
      <c r="R7" s="7" t="s">
        <v>32</v>
      </c>
      <c r="S7" s="7" t="s">
        <v>32</v>
      </c>
      <c r="T7" s="7" t="s">
        <v>39</v>
      </c>
      <c r="U7" s="7" t="s">
        <v>39</v>
      </c>
      <c r="V7" s="7" t="s">
        <v>39</v>
      </c>
      <c r="W7" s="7" t="s">
        <v>39</v>
      </c>
      <c r="X7" s="7" t="s">
        <v>39</v>
      </c>
      <c r="Y7" s="7" t="s">
        <v>39</v>
      </c>
      <c r="Z7" s="7" t="s">
        <v>39</v>
      </c>
      <c r="AA7" s="11" t="s">
        <v>118</v>
      </c>
      <c r="AB7" s="5"/>
    </row>
    <row r="8" spans="1:28" ht="30" x14ac:dyDescent="0.25">
      <c r="A8" s="7" t="s">
        <v>91</v>
      </c>
      <c r="B8" s="11" t="s">
        <v>92</v>
      </c>
      <c r="C8" s="7" t="s">
        <v>93</v>
      </c>
      <c r="D8" s="14" t="s">
        <v>94</v>
      </c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5"/>
    </row>
    <row r="9" spans="1:28" ht="75" x14ac:dyDescent="0.25">
      <c r="A9" s="6" t="s">
        <v>68</v>
      </c>
      <c r="B9" s="11" t="s">
        <v>69</v>
      </c>
      <c r="C9" s="7" t="s">
        <v>70</v>
      </c>
      <c r="D9" s="14" t="s">
        <v>71</v>
      </c>
      <c r="E9" s="7" t="s">
        <v>31</v>
      </c>
      <c r="F9" s="7" t="str">
        <f>PtoPr(E9,1.8)</f>
        <v>0,05</v>
      </c>
      <c r="G9" s="7" t="str">
        <f>PrToTsat(F9)</f>
        <v>30,7</v>
      </c>
      <c r="H9" s="7" t="s">
        <v>119</v>
      </c>
      <c r="I9" s="7" t="s">
        <v>120</v>
      </c>
      <c r="J9" s="7" t="s">
        <v>121</v>
      </c>
      <c r="K9" s="7" t="s">
        <v>35</v>
      </c>
      <c r="L9" s="7" t="s">
        <v>122</v>
      </c>
      <c r="M9" s="7" t="s">
        <v>123</v>
      </c>
      <c r="N9" s="7">
        <v>90</v>
      </c>
      <c r="O9" s="7" t="s">
        <v>32</v>
      </c>
      <c r="P9" s="7" t="s">
        <v>39</v>
      </c>
      <c r="Q9" s="7" t="s">
        <v>72</v>
      </c>
      <c r="R9" s="7" t="s">
        <v>32</v>
      </c>
      <c r="S9" s="7" t="s">
        <v>32</v>
      </c>
      <c r="T9" s="7" t="s">
        <v>32</v>
      </c>
      <c r="U9" s="7" t="s">
        <v>39</v>
      </c>
      <c r="V9" s="7" t="s">
        <v>39</v>
      </c>
      <c r="W9" s="7" t="s">
        <v>39</v>
      </c>
      <c r="X9" s="7" t="s">
        <v>32</v>
      </c>
      <c r="Y9" s="7" t="s">
        <v>39</v>
      </c>
      <c r="Z9" s="7" t="s">
        <v>32</v>
      </c>
      <c r="AA9" s="11" t="s">
        <v>124</v>
      </c>
      <c r="AB9" s="5"/>
    </row>
    <row r="10" spans="1:28" ht="30" x14ac:dyDescent="0.25">
      <c r="A10" s="6" t="s">
        <v>40</v>
      </c>
      <c r="B10" s="11" t="s">
        <v>41</v>
      </c>
      <c r="C10" s="7" t="s">
        <v>42</v>
      </c>
      <c r="D10" s="14" t="s">
        <v>43</v>
      </c>
      <c r="E10" s="7" t="s">
        <v>31</v>
      </c>
      <c r="F10" s="8" t="s">
        <v>44</v>
      </c>
      <c r="G10" s="7" t="str">
        <f>PrToTsat(F10)</f>
        <v>[40,59 ; 100,46]</v>
      </c>
      <c r="H10" s="7" t="s">
        <v>45</v>
      </c>
      <c r="I10" s="7" t="s">
        <v>110</v>
      </c>
      <c r="J10" s="7" t="s">
        <v>46</v>
      </c>
      <c r="K10" s="7" t="s">
        <v>35</v>
      </c>
      <c r="L10" s="7" t="s">
        <v>47</v>
      </c>
      <c r="M10" s="7" t="s">
        <v>48</v>
      </c>
      <c r="N10" s="7">
        <v>0</v>
      </c>
      <c r="O10" s="7"/>
      <c r="P10" s="7"/>
      <c r="Q10" s="7"/>
      <c r="R10" s="7" t="s">
        <v>39</v>
      </c>
      <c r="S10" s="7" t="s">
        <v>39</v>
      </c>
      <c r="T10" s="7" t="s">
        <v>39</v>
      </c>
      <c r="U10" s="7" t="s">
        <v>32</v>
      </c>
      <c r="V10" s="7"/>
      <c r="W10" s="7" t="s">
        <v>39</v>
      </c>
      <c r="X10" s="7"/>
      <c r="Y10" s="7"/>
      <c r="Z10" s="7"/>
      <c r="AA10" s="7"/>
      <c r="AB10" s="5"/>
    </row>
    <row r="11" spans="1:28" ht="30" x14ac:dyDescent="0.25">
      <c r="A11" s="6" t="s">
        <v>58</v>
      </c>
      <c r="B11" s="11" t="s">
        <v>59</v>
      </c>
      <c r="C11" s="7" t="s">
        <v>60</v>
      </c>
      <c r="D11" s="14" t="s">
        <v>43</v>
      </c>
      <c r="E11" s="7" t="s">
        <v>31</v>
      </c>
      <c r="F11" s="7" t="s">
        <v>106</v>
      </c>
      <c r="G11" s="7" t="str">
        <f>PrToTsat(F11)</f>
        <v>[60,91 _ 120,12]</v>
      </c>
      <c r="H11" s="7" t="s">
        <v>116</v>
      </c>
      <c r="I11" s="7" t="s">
        <v>113</v>
      </c>
      <c r="J11" s="7" t="s">
        <v>61</v>
      </c>
      <c r="K11" s="7" t="s">
        <v>35</v>
      </c>
      <c r="L11" s="7" t="s">
        <v>47</v>
      </c>
      <c r="M11" s="7" t="s">
        <v>62</v>
      </c>
      <c r="N11" s="7">
        <v>0</v>
      </c>
      <c r="O11" s="7"/>
      <c r="P11" s="7"/>
      <c r="Q11" s="7"/>
      <c r="R11" s="7" t="s">
        <v>32</v>
      </c>
      <c r="S11" s="7" t="s">
        <v>39</v>
      </c>
      <c r="T11" s="7" t="s">
        <v>39</v>
      </c>
      <c r="U11" s="7" t="s">
        <v>39</v>
      </c>
      <c r="V11" s="7"/>
      <c r="W11" s="7" t="s">
        <v>39</v>
      </c>
      <c r="X11" s="7"/>
      <c r="Y11" s="7"/>
      <c r="Z11" s="7"/>
      <c r="AA11" s="7"/>
      <c r="AB11" s="5"/>
    </row>
    <row r="12" spans="1:28" ht="30" x14ac:dyDescent="0.25">
      <c r="A12" s="6" t="s">
        <v>52</v>
      </c>
      <c r="B12" s="11" t="s">
        <v>53</v>
      </c>
      <c r="C12" s="7" t="s">
        <v>54</v>
      </c>
      <c r="D12" s="14" t="s">
        <v>55</v>
      </c>
      <c r="E12" s="7" t="s">
        <v>31</v>
      </c>
      <c r="F12" s="8" t="s">
        <v>56</v>
      </c>
      <c r="G12" s="7" t="str">
        <f>PrToTsat(F12)</f>
        <v>[17,01 ; 100,46]</v>
      </c>
      <c r="H12" s="7" t="s">
        <v>115</v>
      </c>
      <c r="I12" s="7" t="s">
        <v>112</v>
      </c>
      <c r="J12" s="7" t="s">
        <v>57</v>
      </c>
      <c r="K12" s="7" t="s">
        <v>35</v>
      </c>
      <c r="L12" s="7" t="s">
        <v>47</v>
      </c>
      <c r="M12" s="7" t="s">
        <v>48</v>
      </c>
      <c r="N12" s="7">
        <v>0</v>
      </c>
      <c r="O12" s="7"/>
      <c r="P12" s="7"/>
      <c r="Q12" s="7"/>
      <c r="R12" s="7" t="s">
        <v>39</v>
      </c>
      <c r="S12" s="7" t="s">
        <v>39</v>
      </c>
      <c r="T12" s="7" t="s">
        <v>39</v>
      </c>
      <c r="U12" s="7" t="s">
        <v>39</v>
      </c>
      <c r="V12" s="7"/>
      <c r="W12" s="7" t="s">
        <v>32</v>
      </c>
      <c r="X12" s="7"/>
      <c r="Y12" s="7"/>
      <c r="Z12" s="7"/>
      <c r="AA12" s="7"/>
      <c r="AB12" s="5"/>
    </row>
    <row r="13" spans="1:28" x14ac:dyDescent="0.25">
      <c r="A13" s="6" t="s">
        <v>73</v>
      </c>
      <c r="B13" s="11" t="s">
        <v>74</v>
      </c>
      <c r="C13" s="7" t="s">
        <v>75</v>
      </c>
      <c r="D13" s="14" t="s">
        <v>55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5"/>
    </row>
    <row r="14" spans="1:28" ht="30" x14ac:dyDescent="0.25">
      <c r="A14" s="6" t="s">
        <v>49</v>
      </c>
      <c r="B14" s="11" t="s">
        <v>50</v>
      </c>
      <c r="C14" s="7" t="s">
        <v>29</v>
      </c>
      <c r="D14" s="14" t="s">
        <v>51</v>
      </c>
      <c r="E14" s="7" t="s">
        <v>31</v>
      </c>
      <c r="F14" s="8">
        <v>0.21</v>
      </c>
      <c r="G14" s="7" t="str">
        <f>PrToTsat(F14)</f>
        <v>78,86</v>
      </c>
      <c r="H14" s="7" t="s">
        <v>32</v>
      </c>
      <c r="I14" s="7" t="s">
        <v>111</v>
      </c>
      <c r="J14" s="7" t="s">
        <v>34</v>
      </c>
      <c r="K14" s="7" t="s">
        <v>35</v>
      </c>
      <c r="L14" s="7" t="s">
        <v>36</v>
      </c>
      <c r="M14" s="7" t="s">
        <v>37</v>
      </c>
      <c r="N14" s="7" t="s">
        <v>38</v>
      </c>
      <c r="O14" s="7"/>
      <c r="P14" s="7"/>
      <c r="Q14" s="7"/>
      <c r="R14" s="7" t="s">
        <v>32</v>
      </c>
      <c r="S14" s="7" t="s">
        <v>39</v>
      </c>
      <c r="T14" s="7" t="s">
        <v>39</v>
      </c>
      <c r="U14" s="7" t="s">
        <v>39</v>
      </c>
      <c r="V14" s="7"/>
      <c r="W14" s="7" t="s">
        <v>32</v>
      </c>
      <c r="X14" s="7"/>
      <c r="Y14" s="7"/>
      <c r="Z14" s="7"/>
      <c r="AA14" s="7"/>
      <c r="AB14" s="5"/>
    </row>
    <row r="15" spans="1:28" ht="30" x14ac:dyDescent="0.25">
      <c r="A15" s="6" t="s">
        <v>27</v>
      </c>
      <c r="B15" s="11" t="s">
        <v>28</v>
      </c>
      <c r="C15" s="7" t="s">
        <v>29</v>
      </c>
      <c r="D15" s="14" t="s">
        <v>30</v>
      </c>
      <c r="E15" s="7" t="s">
        <v>31</v>
      </c>
      <c r="F15" s="8">
        <v>0.21</v>
      </c>
      <c r="G15" s="7" t="str">
        <f>PrToTsat(F15)</f>
        <v>78,86</v>
      </c>
      <c r="H15" s="7" t="s">
        <v>32</v>
      </c>
      <c r="I15" s="7" t="s">
        <v>33</v>
      </c>
      <c r="J15" s="7" t="s">
        <v>34</v>
      </c>
      <c r="K15" s="7" t="s">
        <v>35</v>
      </c>
      <c r="L15" s="7" t="s">
        <v>36</v>
      </c>
      <c r="M15" s="7" t="s">
        <v>37</v>
      </c>
      <c r="N15" s="7" t="s">
        <v>38</v>
      </c>
      <c r="O15" s="7"/>
      <c r="P15" s="7"/>
      <c r="Q15" s="7"/>
      <c r="R15" s="7" t="s">
        <v>39</v>
      </c>
      <c r="S15" s="7" t="s">
        <v>32</v>
      </c>
      <c r="T15" s="7" t="s">
        <v>39</v>
      </c>
      <c r="U15" s="7" t="s">
        <v>39</v>
      </c>
      <c r="V15" s="7"/>
      <c r="W15" s="7" t="s">
        <v>39</v>
      </c>
      <c r="X15" s="7"/>
      <c r="Y15" s="7"/>
      <c r="Z15" s="7"/>
      <c r="AA15" s="7"/>
      <c r="AB15" s="5"/>
    </row>
    <row r="16" spans="1:28" x14ac:dyDescent="0.25">
      <c r="A16" s="6" t="s">
        <v>76</v>
      </c>
      <c r="B16" s="11" t="s">
        <v>77</v>
      </c>
      <c r="C16" s="7" t="s">
        <v>78</v>
      </c>
      <c r="D16" s="14" t="s">
        <v>79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5"/>
    </row>
    <row r="17" spans="1:28" x14ac:dyDescent="0.25">
      <c r="A17" s="6" t="s">
        <v>87</v>
      </c>
      <c r="B17" s="11" t="s">
        <v>88</v>
      </c>
      <c r="C17" s="7" t="s">
        <v>89</v>
      </c>
      <c r="D17" s="14" t="s">
        <v>90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5"/>
    </row>
    <row r="18" spans="1:28" x14ac:dyDescent="0.25">
      <c r="A18" s="1"/>
      <c r="B18" s="12"/>
      <c r="C18" s="1"/>
      <c r="D18" s="14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</row>
    <row r="19" spans="1:28" x14ac:dyDescent="0.25">
      <c r="A19" s="1"/>
      <c r="B19" s="12"/>
      <c r="C19" s="1"/>
      <c r="D19" s="14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</row>
    <row r="20" spans="1:28" x14ac:dyDescent="0.25">
      <c r="A20" s="1"/>
      <c r="B20" s="12"/>
      <c r="C20" s="1"/>
      <c r="D20" s="14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</row>
    <row r="21" spans="1:28" x14ac:dyDescent="0.25">
      <c r="A21" s="1"/>
      <c r="B21" s="12"/>
      <c r="C21" s="1"/>
      <c r="D21" s="14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</row>
    <row r="22" spans="1:28" x14ac:dyDescent="0.25">
      <c r="A22" s="1"/>
      <c r="B22" s="12"/>
      <c r="C22" s="1"/>
      <c r="D22" s="14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</row>
    <row r="23" spans="1:28" x14ac:dyDescent="0.25">
      <c r="A23" s="1"/>
      <c r="B23" s="12"/>
      <c r="C23" s="1"/>
      <c r="D23" s="14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</row>
    <row r="24" spans="1:28" x14ac:dyDescent="0.25">
      <c r="A24" s="1"/>
      <c r="B24" s="12"/>
      <c r="C24" s="1"/>
      <c r="D24" s="14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</row>
  </sheetData>
  <sortState ref="A2:AA17">
    <sortCondition ref="D2"/>
  </sortState>
  <conditionalFormatting sqref="K2:L2 K4:L4 H3:L3 H4:I4 B1:L1 H2:I2 M1:AL46 E20:L20 F19:L19 F21:L24 B18:L18 E17:L17 B9:L16 B25:L46 B2:F8 H5:L8">
    <cfRule type="cellIs" dxfId="8" priority="11" operator="equal">
      <formula>"X"</formula>
    </cfRule>
  </conditionalFormatting>
  <conditionalFormatting sqref="K2:L2 K4:L4 H3:L3 H4:I4 H2:I2 M2:AL46 E20:L20 F19:L19 F21:L24 B18:L18 E17:L17 B9:L16 B25:L46 B2:F8 H5:L8">
    <cfRule type="cellIs" dxfId="7" priority="10" operator="equal">
      <formula>"V"</formula>
    </cfRule>
  </conditionalFormatting>
  <conditionalFormatting sqref="J2">
    <cfRule type="cellIs" dxfId="6" priority="6" operator="equal">
      <formula>"V"</formula>
    </cfRule>
    <cfRule type="cellIs" dxfId="5" priority="7" operator="equal">
      <formula>"X"</formula>
    </cfRule>
  </conditionalFormatting>
  <conditionalFormatting sqref="J4">
    <cfRule type="cellIs" dxfId="4" priority="4" operator="equal">
      <formula>"V"</formula>
    </cfRule>
    <cfRule type="cellIs" dxfId="3" priority="5" operator="equal">
      <formula>"X"</formula>
    </cfRule>
  </conditionalFormatting>
  <conditionalFormatting sqref="A1">
    <cfRule type="cellIs" dxfId="2" priority="3" operator="equal">
      <formula>"X"</formula>
    </cfRule>
  </conditionalFormatting>
  <conditionalFormatting sqref="G2:G8">
    <cfRule type="cellIs" dxfId="1" priority="2" operator="equal">
      <formula>"X"</formula>
    </cfRule>
  </conditionalFormatting>
  <conditionalFormatting sqref="G2:G8">
    <cfRule type="cellIs" dxfId="0" priority="1" operator="equal">
      <formula>"V"</formula>
    </cfRule>
  </conditionalFormatting>
  <hyperlinks>
    <hyperlink ref="A15" r:id="rId1" xr:uid="{00000000-0004-0000-0000-000000000000}"/>
    <hyperlink ref="A10" r:id="rId2" xr:uid="{00000000-0004-0000-0000-000001000000}"/>
    <hyperlink ref="A14" r:id="rId3" xr:uid="{00000000-0004-0000-0000-000002000000}"/>
    <hyperlink ref="A12" r:id="rId4" xr:uid="{00000000-0004-0000-0000-000003000000}"/>
    <hyperlink ref="A11" r:id="rId5" xr:uid="{00000000-0004-0000-0000-000004000000}"/>
    <hyperlink ref="A7" r:id="rId6" xr:uid="{00000000-0004-0000-0000-000005000000}"/>
    <hyperlink ref="A9" r:id="rId7" xr:uid="{00000000-0004-0000-0000-000006000000}"/>
    <hyperlink ref="A13" r:id="rId8" xr:uid="{00000000-0004-0000-0000-000007000000}"/>
    <hyperlink ref="A16" r:id="rId9" xr:uid="{00000000-0004-0000-0000-000008000000}"/>
    <hyperlink ref="A3" r:id="rId10" xr:uid="{00000000-0004-0000-0000-000009000000}"/>
    <hyperlink ref="A4" r:id="rId11" xr:uid="{00000000-0004-0000-0000-00000A000000}"/>
    <hyperlink ref="A17" r:id="rId12" xr:uid="{00000000-0004-0000-0000-00000B000000}"/>
    <hyperlink ref="A2" r:id="rId13" xr:uid="{00000000-0004-0000-0000-00000C000000}"/>
  </hyperlinks>
  <pageMargins left="0.7" right="0.7" top="0.75" bottom="0.75" header="0.3" footer="0.3"/>
  <pageSetup paperSize="9" orientation="portrait" r:id="rId1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Feuil1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Yann Berton</dc:creator>
  <cp:lastModifiedBy>Yann Berton</cp:lastModifiedBy>
  <dcterms:created xsi:type="dcterms:W3CDTF">2023-11-08T09:02:09Z</dcterms:created>
  <dcterms:modified xsi:type="dcterms:W3CDTF">2024-02-09T17:09:26Z</dcterms:modified>
</cp:coreProperties>
</file>