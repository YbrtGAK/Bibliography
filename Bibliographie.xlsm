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berton\Documents\Bibliographie\"/>
    </mc:Choice>
  </mc:AlternateContent>
  <xr:revisionPtr revIDLastSave="0" documentId="13_ncr:1_{0BABDAAB-8EBC-41E0-AB98-0E12AD0349C8}" xr6:coauthVersionLast="36" xr6:coauthVersionMax="36" xr10:uidLastSave="{00000000-0000-0000-0000-000000000000}"/>
  <bookViews>
    <workbookView xWindow="0" yWindow="0" windowWidth="12795" windowHeight="7980" xr2:uid="{00000000-000D-0000-FFFF-FFFF00000000}"/>
  </bookViews>
  <sheets>
    <sheet name="Feuil1" sheetId="1" r:id="rId1"/>
  </sheets>
  <functionGroups builtInGroupCount="19"/>
  <calcPr calcId="191029"/>
</workbook>
</file>

<file path=xl/calcChain.xml><?xml version="1.0" encoding="utf-8"?>
<calcChain xmlns="http://schemas.openxmlformats.org/spreadsheetml/2006/main">
  <c r="G8" i="1" l="1"/>
  <c r="F8" i="1"/>
  <c r="G3" i="1"/>
  <c r="G6" i="1"/>
  <c r="G7" i="1"/>
  <c r="G4" i="1"/>
  <c r="G5" i="1"/>
  <c r="G2" i="1"/>
</calcChain>
</file>

<file path=xl/sharedStrings.xml><?xml version="1.0" encoding="utf-8"?>
<sst xmlns="http://schemas.openxmlformats.org/spreadsheetml/2006/main" count="196" uniqueCount="126">
  <si>
    <t>Ref</t>
  </si>
  <si>
    <t>Name</t>
  </si>
  <si>
    <t>Authors</t>
  </si>
  <si>
    <t>Date</t>
  </si>
  <si>
    <t>Fluids</t>
  </si>
  <si>
    <t>Reduced pressure
 [bars]</t>
  </si>
  <si>
    <t>Tsat [°C]</t>
  </si>
  <si>
    <t>Flow patterns</t>
  </si>
  <si>
    <t>G
[kg/m²/s]</t>
  </si>
  <si>
    <t>Vapor
quality
[-]</t>
  </si>
  <si>
    <t>Shape</t>
  </si>
  <si>
    <t>Material</t>
  </si>
  <si>
    <t>Dh/L Canal
[mm]</t>
  </si>
  <si>
    <t>Inclinaison
[°]</t>
  </si>
  <si>
    <t>ONB</t>
  </si>
  <si>
    <t>OSV</t>
  </si>
  <si>
    <t>q"
[kW/m²]</t>
  </si>
  <si>
    <t>dP/dz</t>
  </si>
  <si>
    <t>HTC</t>
  </si>
  <si>
    <t>CHF</t>
  </si>
  <si>
    <t>Fluid thickness</t>
  </si>
  <si>
    <t>Void fraction</t>
  </si>
  <si>
    <t>Symmetry</t>
  </si>
  <si>
    <t>Nucleation
 sites 
density</t>
  </si>
  <si>
    <t>f bulles</t>
  </si>
  <si>
    <t>D bubbles 
detachment</t>
  </si>
  <si>
    <t>Results</t>
  </si>
  <si>
    <t>https://www.sciencedirect.com/science/article/pii/S0017931018336202</t>
  </si>
  <si>
    <t>Effect of inclination on heat transfer coefficient during flow boiling in a mini-channel</t>
  </si>
  <si>
    <t>[Layssac, Lips, Revellin]</t>
  </si>
  <si>
    <t>2019</t>
  </si>
  <si>
    <t>R245fa</t>
  </si>
  <si>
    <t>V</t>
  </si>
  <si>
    <t>[150 ; 200]</t>
  </si>
  <si>
    <t>[0,03 ; 0,85]</t>
  </si>
  <si>
    <t>C</t>
  </si>
  <si>
    <t>Saphyr</t>
  </si>
  <si>
    <t>[1,6 , 200]</t>
  </si>
  <si>
    <t>[-90 ; 90]</t>
  </si>
  <si>
    <t>X</t>
  </si>
  <si>
    <t>https://www.sciencedirect.com/science/article/pii/S089417771500182X</t>
  </si>
  <si>
    <t>Film thickness measurements for annular flow in minichannels: Description of the optical technique and experimental results</t>
  </si>
  <si>
    <t>[Donniacuo, Charnay, Mastrullo, Mauro, Revellin]</t>
  </si>
  <si>
    <t>2015</t>
  </si>
  <si>
    <t>[0,07 ; 0,35]</t>
  </si>
  <si>
    <t>annular</t>
  </si>
  <si>
    <t>[0,1 ; 0,8]</t>
  </si>
  <si>
    <t>SS</t>
  </si>
  <si>
    <t>[2,95 , 185]</t>
  </si>
  <si>
    <t>https://www.sciencedirect.com/science/article/pii/S0894177718305843</t>
  </si>
  <si>
    <t>Experimental study of flow boiling in an inclined mini-channel: Effect of inclination on flow pattern transitions and pressure drops</t>
  </si>
  <si>
    <t>2018</t>
  </si>
  <si>
    <t>https://www.sciencedirect.com/science/article/pii/S0301932216306942</t>
  </si>
  <si>
    <t>Prediction of symmetry during intermittent and annular horizontal two-phase flows</t>
  </si>
  <si>
    <t>[Layssac, Capo, Lips, Mauro, Revellin]</t>
  </si>
  <si>
    <t>2017</t>
  </si>
  <si>
    <t>[0,03 ; 0,35]</t>
  </si>
  <si>
    <t>[0,1 ; 1]</t>
  </si>
  <si>
    <t>https://www.sciencedirect.com/science/article/pii/S0140700715000468</t>
  </si>
  <si>
    <t>Discussion on the validity of prediction tools for two-phase flow pressure drops from experimental data obtained at high saturation temperatures</t>
  </si>
  <si>
    <t>[Charnay, Revellin, Bonjour]</t>
  </si>
  <si>
    <t>[0 ; 1]</t>
  </si>
  <si>
    <t>[3 , 350]</t>
  </si>
  <si>
    <t>https://www.sciencedirect.com/science/article/pii/S0140700710000757</t>
  </si>
  <si>
    <t>Carbon dioxide heat transfer coefficients and pressure drops during flow boiling: Assessment of predictive methods</t>
  </si>
  <si>
    <t>[Mastrullo, Mauro, Rosato, Vanoli]</t>
  </si>
  <si>
    <t>2010</t>
  </si>
  <si>
    <t>R744</t>
  </si>
  <si>
    <t>https://www.sciencedirect.com/science/article/pii/S0894177714000557</t>
  </si>
  <si>
    <t>Flow boiling of R245fa in 1.1mm diameter stainless steel, brass and copper tubes</t>
  </si>
  <si>
    <t>[Pike-Wilson, Karayiannis]</t>
  </si>
  <si>
    <t>2014</t>
  </si>
  <si>
    <t>[10 ; 60]</t>
  </si>
  <si>
    <t>https://www.sciencedirect.com/science/article/pii/S1359431116314090</t>
  </si>
  <si>
    <t>Flow boiling in microchannels: Fundamentals and applications</t>
  </si>
  <si>
    <t>[Karayiannis, Mahmoud]</t>
  </si>
  <si>
    <t>https://www.sciencedirect.com/science/article/pii/S0017931019316151</t>
  </si>
  <si>
    <t>Surface roughness variation effects on copper tubes in pool boiling of water</t>
  </si>
  <si>
    <t>[Mata Arenales, C.s., Kuo, Chen]</t>
  </si>
  <si>
    <t>2020</t>
  </si>
  <si>
    <t>https://www.sciencedirect.com/science/article/pii/0301932277900325</t>
  </si>
  <si>
    <t>Flow pattern transition in rough pipes</t>
  </si>
  <si>
    <t>[Taitel]</t>
  </si>
  <si>
    <t>1977</t>
  </si>
  <si>
    <t>https://www.sciencedirect.com/science/article/pii/0149197083900124</t>
  </si>
  <si>
    <t>Two-phase flow patterns: A review of research results</t>
  </si>
  <si>
    <t>[Rouhani, Sohal]</t>
  </si>
  <si>
    <t>1983</t>
  </si>
  <si>
    <t>https://www.sciencedirect.com/science/article/pii/S0017931022004240</t>
  </si>
  <si>
    <t>A state-of-the-art review on flow boiling at high reduced pressures</t>
  </si>
  <si>
    <t>[Marchetto, Moreira, Revellin, Ribatski]</t>
  </si>
  <si>
    <t>2022</t>
  </si>
  <si>
    <t>https://www.sciencedirect.com/science/article/pii/S0894177711001877</t>
  </si>
  <si>
    <t>A study of discrepancies in flow boiling results in small to microdiameter metallic tubes</t>
  </si>
  <si>
    <t>[Karayiannis, Mahmoud, Kenning]</t>
  </si>
  <si>
    <t>2012</t>
  </si>
  <si>
    <t>http://bura.brunel.ac.uk/handle/2438/3283</t>
  </si>
  <si>
    <t>Saturated flow boiling in small- to micro- diameter metallic tubes: Experimental results and modeling</t>
  </si>
  <si>
    <t>[Karayiannis, Shiferaw, Kenning]</t>
  </si>
  <si>
    <t>2008</t>
  </si>
  <si>
    <t>https://dx.doi.org/10.1115/IMECE1998-0592</t>
  </si>
  <si>
    <t>Effect of Surface Finish on Flow Boiling Heat Transfer</t>
  </si>
  <si>
    <t>[Kandlikar, Spiesman]</t>
  </si>
  <si>
    <t>https://doi.org/10.1063/1.1896985</t>
  </si>
  <si>
    <t>Characterization of surface roughness effects on pressure drop in single-phase flow in minichannels</t>
  </si>
  <si>
    <t>[Kandlikar, Schmitt, Carrano, Taylor]</t>
  </si>
  <si>
    <t>2005</t>
  </si>
  <si>
    <t>[0,13 _ 0,53]</t>
  </si>
  <si>
    <t>[0,3873 _ 0,5563]</t>
  </si>
  <si>
    <t>[0,02 _ 0,41]</t>
  </si>
  <si>
    <t>[6 , ?]</t>
  </si>
  <si>
    <t>[300 _ 400]</t>
  </si>
  <si>
    <t>[200 _ 300]</t>
  </si>
  <si>
    <t>[50 _ 400]</t>
  </si>
  <si>
    <t>[100 _ 1000]</t>
  </si>
  <si>
    <t>[200 _ 349]</t>
  </si>
  <si>
    <t>[annular , intermittent]</t>
  </si>
  <si>
    <t>[annular , dryout , intermittent , mist]</t>
  </si>
  <si>
    <t>[10,1  , 20,6]</t>
  </si>
  <si>
    <t>Macro channels study
Littérature survey --&gt; Lack of data :
Delta P for high x &amp; high G
Data for dyout &amp; mist flow</t>
  </si>
  <si>
    <t>[annular , bubbly , churn , slug]</t>
  </si>
  <si>
    <t>[100 _ 400]</t>
  </si>
  <si>
    <t>[0 _ 0,95]</t>
  </si>
  <si>
    <t>[brass ,  copper , SS]</t>
  </si>
  <si>
    <t>[1,1 , ?]</t>
  </si>
  <si>
    <t>Micro channel study at low Pr
Structure surface --&gt; size, nb nucleation sites
--&gt; affect flow patterns, dP, HT
Real struture diff if diff manufacturing
Material nature has low impact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</si>
</sst>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/>
    </xf>
    <xf numFmtId="0" fontId="1" fillId="3" borderId="1" xfId="0" applyNumberFormat="1" applyFont="1" applyFill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2" fillId="0" borderId="1" xfId="1" applyNumberFormat="1" applyBorder="1"/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2" fillId="0" borderId="0" xfId="1" applyNumberFormat="1"/>
    <xf numFmtId="0" fontId="0" fillId="0" borderId="0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</cellXfs>
  <cellStyles count="2">
    <cellStyle name="Lien hypertexte" xfId="1" builtinId="8"/>
    <cellStyle name="Normal" xfId="0" builtinId="0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ciencedirect.com/science/article/pii/S1359431116314090" TargetMode="External"/><Relationship Id="rId13" Type="http://schemas.openxmlformats.org/officeDocument/2006/relationships/hyperlink" Target="https://dx.doi.org/10.1115/IMECE1998-0592" TargetMode="External"/><Relationship Id="rId3" Type="http://schemas.openxmlformats.org/officeDocument/2006/relationships/hyperlink" Target="https://www.sciencedirect.com/science/article/pii/S0894177718305843" TargetMode="External"/><Relationship Id="rId7" Type="http://schemas.openxmlformats.org/officeDocument/2006/relationships/hyperlink" Target="https://www.sciencedirect.com/science/article/pii/S0894177714000557" TargetMode="External"/><Relationship Id="rId12" Type="http://schemas.openxmlformats.org/officeDocument/2006/relationships/hyperlink" Target="https://www.sciencedirect.com/science/article/pii/S0017931022004240" TargetMode="External"/><Relationship Id="rId2" Type="http://schemas.openxmlformats.org/officeDocument/2006/relationships/hyperlink" Target="https://www.sciencedirect.com/science/article/pii/S089417771500182X" TargetMode="External"/><Relationship Id="rId1" Type="http://schemas.openxmlformats.org/officeDocument/2006/relationships/hyperlink" Target="https://www.sciencedirect.com/science/article/pii/S0017931018336202" TargetMode="External"/><Relationship Id="rId6" Type="http://schemas.openxmlformats.org/officeDocument/2006/relationships/hyperlink" Target="https://www.sciencedirect.com/science/article/pii/S0140700710000757" TargetMode="External"/><Relationship Id="rId11" Type="http://schemas.openxmlformats.org/officeDocument/2006/relationships/hyperlink" Target="https://www.sciencedirect.com/science/article/pii/0149197083900124" TargetMode="External"/><Relationship Id="rId5" Type="http://schemas.openxmlformats.org/officeDocument/2006/relationships/hyperlink" Target="https://www.sciencedirect.com/science/article/pii/S0140700715000468" TargetMode="External"/><Relationship Id="rId10" Type="http://schemas.openxmlformats.org/officeDocument/2006/relationships/hyperlink" Target="https://www.sciencedirect.com/science/article/pii/0301932277900325" TargetMode="External"/><Relationship Id="rId4" Type="http://schemas.openxmlformats.org/officeDocument/2006/relationships/hyperlink" Target="https://www.sciencedirect.com/science/article/pii/S0301932216306942" TargetMode="External"/><Relationship Id="rId9" Type="http://schemas.openxmlformats.org/officeDocument/2006/relationships/hyperlink" Target="https://www.sciencedirect.com/science/article/pii/S0017931019316151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24"/>
  <sheetViews>
    <sheetView tabSelected="1" zoomScale="85" zoomScaleNormal="85" workbookViewId="0">
      <selection activeCell="B19" sqref="B19"/>
    </sheetView>
  </sheetViews>
  <sheetFormatPr baseColWidth="10" defaultColWidth="11.42578125" defaultRowHeight="15" x14ac:dyDescent="0.25"/>
  <cols>
    <col min="1" max="1" width="19" style="2" customWidth="1"/>
    <col min="2" max="2" width="70.5703125" style="2" customWidth="1"/>
    <col min="3" max="3" width="47" style="2" bestFit="1" customWidth="1"/>
    <col min="4" max="4" width="8.140625" style="2" customWidth="1"/>
    <col min="5" max="5" width="7.140625" style="2" bestFit="1" customWidth="1"/>
    <col min="6" max="6" width="17" style="2" bestFit="1" customWidth="1"/>
    <col min="7" max="7" width="14.5703125" style="2" bestFit="1" customWidth="1"/>
    <col min="8" max="8" width="35.7109375" style="2" bestFit="1" customWidth="1"/>
    <col min="9" max="10" width="11.5703125" style="2" bestFit="1" customWidth="1"/>
    <col min="11" max="11" width="6.42578125" style="2" bestFit="1" customWidth="1"/>
    <col min="12" max="12" width="19.42578125" style="2" bestFit="1" customWidth="1"/>
    <col min="13" max="14" width="10.5703125" style="2" bestFit="1" customWidth="1"/>
    <col min="15" max="15" width="5" style="2" bestFit="1" customWidth="1"/>
    <col min="16" max="16" width="4.7109375" style="2" bestFit="1" customWidth="1"/>
    <col min="17" max="17" width="11.5703125" style="2" bestFit="1" customWidth="1"/>
    <col min="18" max="18" width="6.140625" style="2" bestFit="1" customWidth="1"/>
    <col min="19" max="20" width="4.5703125" style="2" bestFit="1" customWidth="1"/>
    <col min="21" max="21" width="14.140625" style="2" bestFit="1" customWidth="1"/>
    <col min="22" max="22" width="12.42578125" style="2" bestFit="1" customWidth="1"/>
    <col min="23" max="24" width="10" style="2" bestFit="1" customWidth="1"/>
    <col min="25" max="25" width="7.5703125" style="2" bestFit="1" customWidth="1"/>
    <col min="26" max="26" width="11.7109375" style="2" bestFit="1" customWidth="1"/>
    <col min="27" max="27" width="43.85546875" style="2" customWidth="1"/>
    <col min="28" max="35" width="11.42578125" style="2" customWidth="1"/>
    <col min="36" max="16384" width="11.42578125" style="2"/>
  </cols>
  <sheetData>
    <row r="1" spans="1:28" ht="60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  <c r="H1" s="3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4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4" t="s">
        <v>23</v>
      </c>
      <c r="Y1" s="3" t="s">
        <v>24</v>
      </c>
      <c r="Z1" s="4" t="s">
        <v>25</v>
      </c>
      <c r="AA1" s="3" t="s">
        <v>26</v>
      </c>
      <c r="AB1" s="5"/>
    </row>
    <row r="2" spans="1:28" ht="30" customHeight="1" x14ac:dyDescent="0.25">
      <c r="A2" s="6" t="s">
        <v>27</v>
      </c>
      <c r="B2" s="11" t="s">
        <v>28</v>
      </c>
      <c r="C2" s="7" t="s">
        <v>29</v>
      </c>
      <c r="D2" s="7" t="s">
        <v>30</v>
      </c>
      <c r="E2" s="7" t="s">
        <v>31</v>
      </c>
      <c r="F2" s="8">
        <v>0.21</v>
      </c>
      <c r="G2" s="7" t="str">
        <f>PrToTsat(F2)</f>
        <v>78,86</v>
      </c>
      <c r="H2" s="7" t="s">
        <v>32</v>
      </c>
      <c r="I2" s="7" t="s">
        <v>33</v>
      </c>
      <c r="J2" s="7" t="s">
        <v>34</v>
      </c>
      <c r="K2" s="7" t="s">
        <v>35</v>
      </c>
      <c r="L2" s="7" t="s">
        <v>36</v>
      </c>
      <c r="M2" s="7" t="s">
        <v>37</v>
      </c>
      <c r="N2" s="7" t="s">
        <v>38</v>
      </c>
      <c r="O2" s="7"/>
      <c r="P2" s="7"/>
      <c r="Q2" s="7"/>
      <c r="R2" s="7" t="s">
        <v>39</v>
      </c>
      <c r="S2" s="7" t="s">
        <v>32</v>
      </c>
      <c r="T2" s="7" t="s">
        <v>39</v>
      </c>
      <c r="U2" s="7" t="s">
        <v>39</v>
      </c>
      <c r="V2" s="7"/>
      <c r="W2" s="7" t="s">
        <v>39</v>
      </c>
      <c r="X2" s="7"/>
      <c r="Y2" s="7"/>
      <c r="Z2" s="7"/>
      <c r="AA2" s="7"/>
      <c r="AB2" s="10"/>
    </row>
    <row r="3" spans="1:28" ht="30" customHeight="1" x14ac:dyDescent="0.25">
      <c r="A3" s="6" t="s">
        <v>40</v>
      </c>
      <c r="B3" s="11" t="s">
        <v>41</v>
      </c>
      <c r="C3" s="7" t="s">
        <v>42</v>
      </c>
      <c r="D3" s="7" t="s">
        <v>43</v>
      </c>
      <c r="E3" s="7" t="s">
        <v>31</v>
      </c>
      <c r="F3" s="8" t="s">
        <v>44</v>
      </c>
      <c r="G3" s="7" t="str">
        <f t="shared" ref="G3:G8" si="0">PrToTsat(F3)</f>
        <v>[40,59 ; 100,46]</v>
      </c>
      <c r="H3" s="7" t="s">
        <v>45</v>
      </c>
      <c r="I3" s="7" t="s">
        <v>111</v>
      </c>
      <c r="J3" s="7" t="s">
        <v>46</v>
      </c>
      <c r="K3" s="7" t="s">
        <v>35</v>
      </c>
      <c r="L3" s="7" t="s">
        <v>47</v>
      </c>
      <c r="M3" s="7" t="s">
        <v>48</v>
      </c>
      <c r="N3" s="7">
        <v>0</v>
      </c>
      <c r="O3" s="7"/>
      <c r="P3" s="7"/>
      <c r="Q3" s="7"/>
      <c r="R3" s="7" t="s">
        <v>39</v>
      </c>
      <c r="S3" s="7" t="s">
        <v>39</v>
      </c>
      <c r="T3" s="7" t="s">
        <v>39</v>
      </c>
      <c r="U3" s="7" t="s">
        <v>32</v>
      </c>
      <c r="V3" s="7"/>
      <c r="W3" s="7" t="s">
        <v>39</v>
      </c>
      <c r="X3" s="7"/>
      <c r="Y3" s="7"/>
      <c r="Z3" s="7"/>
      <c r="AA3" s="7"/>
      <c r="AB3" s="10"/>
    </row>
    <row r="4" spans="1:28" ht="30" customHeight="1" x14ac:dyDescent="0.25">
      <c r="A4" s="6" t="s">
        <v>49</v>
      </c>
      <c r="B4" s="11" t="s">
        <v>50</v>
      </c>
      <c r="C4" s="7" t="s">
        <v>29</v>
      </c>
      <c r="D4" s="7" t="s">
        <v>51</v>
      </c>
      <c r="E4" s="7" t="s">
        <v>31</v>
      </c>
      <c r="F4" s="8">
        <v>0.21</v>
      </c>
      <c r="G4" s="7" t="str">
        <f t="shared" si="0"/>
        <v>78,86</v>
      </c>
      <c r="H4" s="7" t="s">
        <v>32</v>
      </c>
      <c r="I4" s="7" t="s">
        <v>112</v>
      </c>
      <c r="J4" s="7" t="s">
        <v>34</v>
      </c>
      <c r="K4" s="7" t="s">
        <v>35</v>
      </c>
      <c r="L4" s="7" t="s">
        <v>36</v>
      </c>
      <c r="M4" s="7" t="s">
        <v>37</v>
      </c>
      <c r="N4" s="7" t="s">
        <v>38</v>
      </c>
      <c r="O4" s="7"/>
      <c r="P4" s="7"/>
      <c r="Q4" s="7"/>
      <c r="R4" s="7" t="s">
        <v>32</v>
      </c>
      <c r="S4" s="7" t="s">
        <v>39</v>
      </c>
      <c r="T4" s="7" t="s">
        <v>39</v>
      </c>
      <c r="U4" s="7" t="s">
        <v>39</v>
      </c>
      <c r="V4" s="7"/>
      <c r="W4" s="7" t="s">
        <v>32</v>
      </c>
      <c r="X4" s="7"/>
      <c r="Y4" s="7"/>
      <c r="Z4" s="7"/>
      <c r="AA4" s="7"/>
      <c r="AB4" s="10"/>
    </row>
    <row r="5" spans="1:28" ht="30" customHeight="1" x14ac:dyDescent="0.25">
      <c r="A5" s="6" t="s">
        <v>52</v>
      </c>
      <c r="B5" s="11" t="s">
        <v>53</v>
      </c>
      <c r="C5" s="7" t="s">
        <v>54</v>
      </c>
      <c r="D5" s="7" t="s">
        <v>55</v>
      </c>
      <c r="E5" s="7" t="s">
        <v>31</v>
      </c>
      <c r="F5" s="8" t="s">
        <v>56</v>
      </c>
      <c r="G5" s="7" t="str">
        <f t="shared" si="0"/>
        <v>[17,01 ; 100,46]</v>
      </c>
      <c r="H5" s="7" t="s">
        <v>116</v>
      </c>
      <c r="I5" s="7" t="s">
        <v>113</v>
      </c>
      <c r="J5" s="7" t="s">
        <v>57</v>
      </c>
      <c r="K5" s="7" t="s">
        <v>35</v>
      </c>
      <c r="L5" s="7" t="s">
        <v>47</v>
      </c>
      <c r="M5" s="7" t="s">
        <v>48</v>
      </c>
      <c r="N5" s="7">
        <v>0</v>
      </c>
      <c r="O5" s="7"/>
      <c r="P5" s="7"/>
      <c r="Q5" s="7"/>
      <c r="R5" s="7" t="s">
        <v>39</v>
      </c>
      <c r="S5" s="7" t="s">
        <v>39</v>
      </c>
      <c r="T5" s="7" t="s">
        <v>39</v>
      </c>
      <c r="U5" s="7" t="s">
        <v>39</v>
      </c>
      <c r="V5" s="7"/>
      <c r="W5" s="7" t="s">
        <v>32</v>
      </c>
      <c r="X5" s="7"/>
      <c r="Y5" s="7"/>
      <c r="Z5" s="7"/>
      <c r="AA5" s="7"/>
      <c r="AB5" s="10"/>
    </row>
    <row r="6" spans="1:28" ht="28.5" customHeight="1" x14ac:dyDescent="0.25">
      <c r="A6" s="6" t="s">
        <v>58</v>
      </c>
      <c r="B6" s="11" t="s">
        <v>59</v>
      </c>
      <c r="C6" s="7" t="s">
        <v>60</v>
      </c>
      <c r="D6" s="7" t="s">
        <v>43</v>
      </c>
      <c r="E6" s="7" t="s">
        <v>31</v>
      </c>
      <c r="F6" s="7" t="s">
        <v>107</v>
      </c>
      <c r="G6" s="7" t="str">
        <f t="shared" si="0"/>
        <v>[60,91 _ 120,12]</v>
      </c>
      <c r="H6" s="7" t="s">
        <v>117</v>
      </c>
      <c r="I6" s="7" t="s">
        <v>114</v>
      </c>
      <c r="J6" s="7" t="s">
        <v>61</v>
      </c>
      <c r="K6" s="7" t="s">
        <v>35</v>
      </c>
      <c r="L6" s="7" t="s">
        <v>47</v>
      </c>
      <c r="M6" s="7" t="s">
        <v>62</v>
      </c>
      <c r="N6" s="7">
        <v>0</v>
      </c>
      <c r="O6" s="7"/>
      <c r="P6" s="7"/>
      <c r="Q6" s="7"/>
      <c r="R6" s="7" t="s">
        <v>32</v>
      </c>
      <c r="S6" s="7" t="s">
        <v>39</v>
      </c>
      <c r="T6" s="7" t="s">
        <v>39</v>
      </c>
      <c r="U6" s="7" t="s">
        <v>39</v>
      </c>
      <c r="V6" s="7"/>
      <c r="W6" s="7" t="s">
        <v>39</v>
      </c>
      <c r="X6" s="7"/>
      <c r="Y6" s="7"/>
      <c r="Z6" s="7"/>
      <c r="AA6" s="7"/>
      <c r="AB6" s="10"/>
    </row>
    <row r="7" spans="1:28" ht="60" x14ac:dyDescent="0.25">
      <c r="A7" s="9" t="s">
        <v>63</v>
      </c>
      <c r="B7" s="11" t="s">
        <v>64</v>
      </c>
      <c r="C7" s="7" t="s">
        <v>65</v>
      </c>
      <c r="D7" s="7" t="s">
        <v>66</v>
      </c>
      <c r="E7" s="7" t="s">
        <v>67</v>
      </c>
      <c r="F7" s="7" t="s">
        <v>108</v>
      </c>
      <c r="G7" s="7" t="str">
        <f t="shared" si="0"/>
        <v>[-7,31 _ 6,31]</v>
      </c>
      <c r="H7" s="7" t="s">
        <v>32</v>
      </c>
      <c r="I7" s="7" t="s">
        <v>115</v>
      </c>
      <c r="J7" s="7" t="s">
        <v>109</v>
      </c>
      <c r="K7" s="7" t="s">
        <v>35</v>
      </c>
      <c r="L7" s="7" t="s">
        <v>47</v>
      </c>
      <c r="M7" s="7" t="s">
        <v>110</v>
      </c>
      <c r="N7" s="7">
        <v>0</v>
      </c>
      <c r="O7" s="7" t="s">
        <v>39</v>
      </c>
      <c r="P7" s="7" t="s">
        <v>39</v>
      </c>
      <c r="Q7" s="7" t="s">
        <v>118</v>
      </c>
      <c r="R7" s="7" t="s">
        <v>32</v>
      </c>
      <c r="S7" s="7" t="s">
        <v>32</v>
      </c>
      <c r="T7" s="7" t="s">
        <v>39</v>
      </c>
      <c r="U7" s="7" t="s">
        <v>39</v>
      </c>
      <c r="V7" s="7" t="s">
        <v>39</v>
      </c>
      <c r="W7" s="7" t="s">
        <v>39</v>
      </c>
      <c r="X7" s="7" t="s">
        <v>39</v>
      </c>
      <c r="Y7" s="7" t="s">
        <v>39</v>
      </c>
      <c r="Z7" s="7" t="s">
        <v>39</v>
      </c>
      <c r="AA7" s="11" t="s">
        <v>119</v>
      </c>
      <c r="AB7" s="5"/>
    </row>
    <row r="8" spans="1:28" ht="75" x14ac:dyDescent="0.25">
      <c r="A8" s="6" t="s">
        <v>68</v>
      </c>
      <c r="B8" s="11" t="s">
        <v>69</v>
      </c>
      <c r="C8" s="7" t="s">
        <v>70</v>
      </c>
      <c r="D8" s="7" t="s">
        <v>71</v>
      </c>
      <c r="E8" s="7" t="s">
        <v>31</v>
      </c>
      <c r="F8" s="7" t="str">
        <f>PtoPr(E8,1.8)</f>
        <v>0,05</v>
      </c>
      <c r="G8" s="7" t="str">
        <f t="shared" si="0"/>
        <v>30,7</v>
      </c>
      <c r="H8" s="7" t="s">
        <v>120</v>
      </c>
      <c r="I8" s="7" t="s">
        <v>121</v>
      </c>
      <c r="J8" s="7" t="s">
        <v>122</v>
      </c>
      <c r="K8" s="7" t="s">
        <v>35</v>
      </c>
      <c r="L8" s="7" t="s">
        <v>123</v>
      </c>
      <c r="M8" s="7" t="s">
        <v>124</v>
      </c>
      <c r="N8" s="7">
        <v>90</v>
      </c>
      <c r="O8" s="7" t="s">
        <v>32</v>
      </c>
      <c r="P8" s="7" t="s">
        <v>39</v>
      </c>
      <c r="Q8" s="7" t="s">
        <v>72</v>
      </c>
      <c r="R8" s="7" t="s">
        <v>32</v>
      </c>
      <c r="S8" s="7" t="s">
        <v>32</v>
      </c>
      <c r="T8" s="7" t="s">
        <v>32</v>
      </c>
      <c r="U8" s="7" t="s">
        <v>39</v>
      </c>
      <c r="V8" s="7" t="s">
        <v>39</v>
      </c>
      <c r="W8" s="7" t="s">
        <v>39</v>
      </c>
      <c r="X8" s="7" t="s">
        <v>32</v>
      </c>
      <c r="Y8" s="7" t="s">
        <v>39</v>
      </c>
      <c r="Z8" s="7" t="s">
        <v>32</v>
      </c>
      <c r="AA8" s="11" t="s">
        <v>125</v>
      </c>
      <c r="AB8" s="5"/>
    </row>
    <row r="9" spans="1:28" x14ac:dyDescent="0.25">
      <c r="A9" s="6" t="s">
        <v>73</v>
      </c>
      <c r="B9" s="11" t="s">
        <v>74</v>
      </c>
      <c r="C9" s="7" t="s">
        <v>75</v>
      </c>
      <c r="D9" s="7" t="s">
        <v>55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5"/>
    </row>
    <row r="10" spans="1:28" x14ac:dyDescent="0.25">
      <c r="A10" s="6" t="s">
        <v>76</v>
      </c>
      <c r="B10" s="11" t="s">
        <v>77</v>
      </c>
      <c r="C10" s="7" t="s">
        <v>78</v>
      </c>
      <c r="D10" s="7" t="s">
        <v>79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5"/>
    </row>
    <row r="11" spans="1:28" x14ac:dyDescent="0.25">
      <c r="A11" s="6" t="s">
        <v>80</v>
      </c>
      <c r="B11" s="11" t="s">
        <v>81</v>
      </c>
      <c r="C11" s="7" t="s">
        <v>82</v>
      </c>
      <c r="D11" s="7" t="s">
        <v>83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5"/>
    </row>
    <row r="12" spans="1:28" x14ac:dyDescent="0.25">
      <c r="A12" s="6" t="s">
        <v>84</v>
      </c>
      <c r="B12" s="11" t="s">
        <v>85</v>
      </c>
      <c r="C12" s="7" t="s">
        <v>86</v>
      </c>
      <c r="D12" s="7" t="s">
        <v>87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5"/>
    </row>
    <row r="13" spans="1:28" x14ac:dyDescent="0.25">
      <c r="A13" s="6" t="s">
        <v>88</v>
      </c>
      <c r="B13" s="11" t="s">
        <v>89</v>
      </c>
      <c r="C13" s="7" t="s">
        <v>90</v>
      </c>
      <c r="D13" s="7" t="s">
        <v>91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5"/>
    </row>
    <row r="14" spans="1:28" ht="30" x14ac:dyDescent="0.25">
      <c r="A14" s="7" t="s">
        <v>92</v>
      </c>
      <c r="B14" s="11" t="s">
        <v>93</v>
      </c>
      <c r="C14" s="7" t="s">
        <v>94</v>
      </c>
      <c r="D14" s="7" t="s">
        <v>95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5"/>
    </row>
    <row r="15" spans="1:28" ht="30" x14ac:dyDescent="0.25">
      <c r="A15" s="7" t="s">
        <v>96</v>
      </c>
      <c r="B15" s="11" t="s">
        <v>97</v>
      </c>
      <c r="C15" s="7" t="s">
        <v>98</v>
      </c>
      <c r="D15" s="7" t="s">
        <v>99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5"/>
    </row>
    <row r="16" spans="1:28" x14ac:dyDescent="0.25">
      <c r="A16" s="6" t="s">
        <v>100</v>
      </c>
      <c r="B16" s="11" t="s">
        <v>101</v>
      </c>
      <c r="C16" s="7" t="s">
        <v>102</v>
      </c>
      <c r="D16" s="7">
        <v>2022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5"/>
    </row>
    <row r="17" spans="1:28" ht="30" x14ac:dyDescent="0.25">
      <c r="A17" s="7" t="s">
        <v>103</v>
      </c>
      <c r="B17" s="11" t="s">
        <v>104</v>
      </c>
      <c r="C17" s="7" t="s">
        <v>105</v>
      </c>
      <c r="D17" s="7" t="s">
        <v>106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5"/>
    </row>
    <row r="18" spans="1:28" x14ac:dyDescent="0.25">
      <c r="A18" s="1"/>
      <c r="B18" s="12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8" x14ac:dyDescent="0.25">
      <c r="A19" s="1"/>
      <c r="B19" s="12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8" x14ac:dyDescent="0.25">
      <c r="A20" s="1"/>
      <c r="B20" s="12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8" x14ac:dyDescent="0.25">
      <c r="A21" s="1"/>
      <c r="B21" s="12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8" x14ac:dyDescent="0.25">
      <c r="A22" s="1"/>
      <c r="B22" s="12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8" x14ac:dyDescent="0.25">
      <c r="A23" s="1"/>
      <c r="B23" s="12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8" x14ac:dyDescent="0.25">
      <c r="A24" s="1"/>
      <c r="B24" s="12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</sheetData>
  <conditionalFormatting sqref="K2:L2 K4:L4 H3:L3 H4:I4 B1:L1 H2:I2 M1:AL46 E20:L20 F19:L19 F21:L24 B18:L18 E17:L17 B9:L16 B25:L46 B2:F8 H5:L8">
    <cfRule type="cellIs" dxfId="8" priority="11" operator="equal">
      <formula>"X"</formula>
    </cfRule>
  </conditionalFormatting>
  <conditionalFormatting sqref="K2:L2 K4:L4 H3:L3 H4:I4 H2:I2 M2:AL46 E20:L20 F19:L19 F21:L24 B18:L18 E17:L17 B9:L16 B25:L46 B2:F8 H5:L8">
    <cfRule type="cellIs" dxfId="7" priority="10" operator="equal">
      <formula>"V"</formula>
    </cfRule>
  </conditionalFormatting>
  <conditionalFormatting sqref="J2">
    <cfRule type="cellIs" dxfId="6" priority="6" operator="equal">
      <formula>"V"</formula>
    </cfRule>
    <cfRule type="cellIs" dxfId="5" priority="7" operator="equal">
      <formula>"X"</formula>
    </cfRule>
  </conditionalFormatting>
  <conditionalFormatting sqref="J4">
    <cfRule type="cellIs" dxfId="4" priority="4" operator="equal">
      <formula>"V"</formula>
    </cfRule>
    <cfRule type="cellIs" dxfId="3" priority="5" operator="equal">
      <formula>"X"</formula>
    </cfRule>
  </conditionalFormatting>
  <conditionalFormatting sqref="A1">
    <cfRule type="cellIs" dxfId="2" priority="3" operator="equal">
      <formula>"X"</formula>
    </cfRule>
  </conditionalFormatting>
  <conditionalFormatting sqref="G2:G8">
    <cfRule type="cellIs" dxfId="1" priority="2" operator="equal">
      <formula>"X"</formula>
    </cfRule>
  </conditionalFormatting>
  <conditionalFormatting sqref="G2:G8">
    <cfRule type="cellIs" dxfId="0" priority="1" operator="equal">
      <formula>"V"</formula>
    </cfRule>
  </conditionalFormatting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  <hyperlink ref="A6" r:id="rId5" xr:uid="{00000000-0004-0000-0000-000004000000}"/>
    <hyperlink ref="A7" r:id="rId6" xr:uid="{00000000-0004-0000-0000-000005000000}"/>
    <hyperlink ref="A8" r:id="rId7" xr:uid="{00000000-0004-0000-0000-000006000000}"/>
    <hyperlink ref="A9" r:id="rId8" xr:uid="{00000000-0004-0000-0000-000007000000}"/>
    <hyperlink ref="A10" r:id="rId9" xr:uid="{00000000-0004-0000-0000-000008000000}"/>
    <hyperlink ref="A11" r:id="rId10" xr:uid="{00000000-0004-0000-0000-000009000000}"/>
    <hyperlink ref="A12" r:id="rId11" xr:uid="{00000000-0004-0000-0000-00000A000000}"/>
    <hyperlink ref="A13" r:id="rId12" xr:uid="{00000000-0004-0000-0000-00000B000000}"/>
    <hyperlink ref="A16" r:id="rId13" xr:uid="{00000000-0004-0000-0000-00000C000000}"/>
  </hyperlinks>
  <pageMargins left="0.7" right="0.7" top="0.75" bottom="0.75" header="0.3" footer="0.3"/>
  <pageSetup paperSize="9" orientation="portrait" r:id="rId1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 Berton</dc:creator>
  <cp:lastModifiedBy>Yann Berton</cp:lastModifiedBy>
  <dcterms:created xsi:type="dcterms:W3CDTF">2023-11-08T09:02:09Z</dcterms:created>
  <dcterms:modified xsi:type="dcterms:W3CDTF">2024-02-05T14:33:10Z</dcterms:modified>
</cp:coreProperties>
</file>